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ctrlProps/ctrlProp1.xml" ContentType="application/vnd.ms-excel.controlproperties+xml"/>
  <Override PartName="/xl/ctrlProps/ctrlProp2.xml" ContentType="application/vnd.ms-excel.controlproperties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\NextCloud_Stef\Data\_Energie_Cafe\Warmtepomp\"/>
    </mc:Choice>
  </mc:AlternateContent>
  <xr:revisionPtr revIDLastSave="0" documentId="13_ncr:1_{084FD00D-AB3C-4710-9D8E-45898300D4BB}" xr6:coauthVersionLast="47" xr6:coauthVersionMax="47" xr10:uidLastSave="{00000000-0000-0000-0000-000000000000}"/>
  <bookViews>
    <workbookView xWindow="10200" yWindow="345" windowWidth="21330" windowHeight="17895" activeTab="1" xr2:uid="{93DDEBF5-E8B0-6B4A-8809-8E3AE8454A18}"/>
  </bookViews>
  <sheets>
    <sheet name="Blad1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27" i="1" l="1"/>
  <c r="O23" i="1"/>
  <c r="O26" i="1"/>
  <c r="O22" i="1"/>
  <c r="B31" i="1"/>
  <c r="B30" i="1"/>
  <c r="O13" i="1"/>
  <c r="O14" i="1"/>
  <c r="O15" i="1"/>
  <c r="O16" i="1"/>
  <c r="O6" i="1"/>
  <c r="O7" i="1"/>
  <c r="O8" i="1"/>
  <c r="O5" i="1"/>
  <c r="B14" i="1"/>
  <c r="B15" i="1"/>
  <c r="B16" i="1"/>
  <c r="B13" i="1"/>
  <c r="D12" i="1"/>
  <c r="D21" i="1" s="1"/>
  <c r="E12" i="1"/>
  <c r="E21" i="1" s="1"/>
  <c r="F12" i="1"/>
  <c r="F21" i="1" s="1"/>
  <c r="G12" i="1"/>
  <c r="G21" i="1" s="1"/>
  <c r="H12" i="1"/>
  <c r="H21" i="1" s="1"/>
  <c r="I12" i="1"/>
  <c r="I21" i="1" s="1"/>
  <c r="J12" i="1"/>
  <c r="J21" i="1" s="1"/>
  <c r="K12" i="1"/>
  <c r="K21" i="1" s="1"/>
  <c r="L12" i="1"/>
  <c r="L21" i="1" s="1"/>
  <c r="M12" i="1"/>
  <c r="M21" i="1" s="1"/>
  <c r="N12" i="1"/>
  <c r="N21" i="1" s="1"/>
  <c r="C12" i="1"/>
  <c r="C21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van Kessel</author>
  </authors>
  <commentList>
    <comment ref="L7" authorId="0" shapeId="0" xr:uid="{3DE45B5B-06C4-3F4F-9148-A9E8C49896F3}">
      <text>
        <r>
          <rPr>
            <b/>
            <sz val="10"/>
            <color rgb="FF000000"/>
            <rFont val="Tahoma"/>
            <family val="2"/>
          </rPr>
          <t>Nico van Kessel: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Hier is de warmtepomp voor het eerst gaan werken</t>
        </r>
      </text>
    </comment>
  </commentList>
</comments>
</file>

<file path=xl/sharedStrings.xml><?xml version="1.0" encoding="utf-8"?>
<sst xmlns="http://schemas.openxmlformats.org/spreadsheetml/2006/main" count="46" uniqueCount="38">
  <si>
    <t>jan</t>
  </si>
  <si>
    <t>feb</t>
  </si>
  <si>
    <t>mrt</t>
  </si>
  <si>
    <t>apr</t>
  </si>
  <si>
    <t>mei</t>
  </si>
  <si>
    <t>jun</t>
  </si>
  <si>
    <t>jul</t>
  </si>
  <si>
    <t>aug</t>
  </si>
  <si>
    <t>sep</t>
  </si>
  <si>
    <t>okt</t>
  </si>
  <si>
    <t>nov</t>
  </si>
  <si>
    <t>dec</t>
  </si>
  <si>
    <t>Stroom</t>
  </si>
  <si>
    <t>volgens Greenchoice</t>
  </si>
  <si>
    <t>Gas</t>
  </si>
  <si>
    <t>volgens mij is juli 2021 de slimme meter geplaatst</t>
  </si>
  <si>
    <t>totaal</t>
  </si>
  <si>
    <t>febr 2022 heb ik een infraroodplaat aangeschaft</t>
  </si>
  <si>
    <t>vanwege crisis algehele temperatuur verlaagd naar 16gr</t>
  </si>
  <si>
    <t>vanaf okotber 2023 is warmtepomp gaan werken.</t>
  </si>
  <si>
    <t>Quatt</t>
  </si>
  <si>
    <t>stroom</t>
  </si>
  <si>
    <t>gas</t>
  </si>
  <si>
    <t>COP</t>
  </si>
  <si>
    <t xml:space="preserve">dit is verbruik in de jaren ervoor ook </t>
  </si>
  <si>
    <t>sinds dit jaar is de minimumtemperatuur weer 18 graden</t>
  </si>
  <si>
    <t>COP over totaal tot nu toe: 4,4</t>
  </si>
  <si>
    <t>juli</t>
  </si>
  <si>
    <t>augustus</t>
  </si>
  <si>
    <t>september</t>
  </si>
  <si>
    <t>oktober</t>
  </si>
  <si>
    <t>november</t>
  </si>
  <si>
    <t>december</t>
  </si>
  <si>
    <t>januari</t>
  </si>
  <si>
    <t>februari</t>
  </si>
  <si>
    <t>maart</t>
  </si>
  <si>
    <t>april</t>
  </si>
  <si>
    <t>juni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</si>
</sst>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activeX1.xml><?xml version="1.0" encoding="utf-8"?>
<ax:ocx xmlns:ax="http://schemas.microsoft.com/office/2006/activeX" xmlns:r="http://schemas.openxmlformats.org/officeDocument/2006/relationships" ax:classid="{DFD181E0-5E2F-11CE-A449-00AA004A803D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DFD181E0-5E2F-11CE-A449-00AA004A803D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DFD181E0-5E2F-11CE-A449-00AA004A803D}" ax:persistence="persistStreamInit" r:id="rId1"/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Sheet1!$C$5</c:f>
              <c:strCache>
                <c:ptCount val="1"/>
                <c:pt idx="0">
                  <c:v>COP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Sheet1!$C$6:$C$17</c:f>
              <c:numCache>
                <c:formatCode>General</c:formatCode>
                <c:ptCount val="12"/>
                <c:pt idx="0">
                  <c:v>0</c:v>
                </c:pt>
                <c:pt idx="1">
                  <c:v>0.1</c:v>
                </c:pt>
                <c:pt idx="2">
                  <c:v>4.5</c:v>
                </c:pt>
                <c:pt idx="3">
                  <c:v>5.9</c:v>
                </c:pt>
                <c:pt idx="4">
                  <c:v>4.7</c:v>
                </c:pt>
                <c:pt idx="5">
                  <c:v>4.4000000000000004</c:v>
                </c:pt>
                <c:pt idx="6">
                  <c:v>3.8</c:v>
                </c:pt>
                <c:pt idx="7">
                  <c:v>4.9000000000000004</c:v>
                </c:pt>
                <c:pt idx="8">
                  <c:v>5.6</c:v>
                </c:pt>
                <c:pt idx="9">
                  <c:v>5.2</c:v>
                </c:pt>
                <c:pt idx="10">
                  <c:v>1.3</c:v>
                </c:pt>
                <c:pt idx="11">
                  <c:v>2.2999999999999998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790-433D-A9DA-C6A5464FF8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61956943"/>
        <c:axId val="1361965103"/>
      </c:lineChart>
      <c:catAx>
        <c:axId val="1361956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361965103"/>
        <c:crosses val="autoZero"/>
        <c:auto val="1"/>
        <c:lblAlgn val="ctr"/>
        <c:lblOffset val="100"/>
        <c:noMultiLvlLbl val="0"/>
      </c:catAx>
      <c:valAx>
        <c:axId val="1361965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3619569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Scroll" dx="22" horiz="1" max="100" page="10" val="22"/>
</file>

<file path=xl/ctrlProps/ctrlProp2.xml><?xml version="1.0" encoding="utf-8"?>
<formControlPr xmlns="http://schemas.microsoft.com/office/spreadsheetml/2009/9/main" objectType="Scroll" dx="22" horiz="1" max="100" page="10" val="54"/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314325</xdr:colOff>
          <xdr:row>34</xdr:row>
          <xdr:rowOff>38099</xdr:rowOff>
        </xdr:from>
        <xdr:to>
          <xdr:col>6</xdr:col>
          <xdr:colOff>409575</xdr:colOff>
          <xdr:row>36</xdr:row>
          <xdr:rowOff>133350</xdr:rowOff>
        </xdr:to>
        <xdr:sp macro="" textlink="">
          <xdr:nvSpPr>
            <xdr:cNvPr id="1026" name="Scroll Bar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228600</xdr:colOff>
          <xdr:row>38</xdr:row>
          <xdr:rowOff>9525</xdr:rowOff>
        </xdr:from>
        <xdr:to>
          <xdr:col>5</xdr:col>
          <xdr:colOff>76200</xdr:colOff>
          <xdr:row>40</xdr:row>
          <xdr:rowOff>0</xdr:rowOff>
        </xdr:to>
        <xdr:sp macro="" textlink="">
          <xdr:nvSpPr>
            <xdr:cNvPr id="1027" name="ScrollBar1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628650</xdr:colOff>
          <xdr:row>41</xdr:row>
          <xdr:rowOff>9525</xdr:rowOff>
        </xdr:from>
        <xdr:to>
          <xdr:col>5</xdr:col>
          <xdr:colOff>476250</xdr:colOff>
          <xdr:row>43</xdr:row>
          <xdr:rowOff>0</xdr:rowOff>
        </xdr:to>
        <xdr:sp macro="" textlink="">
          <xdr:nvSpPr>
            <xdr:cNvPr id="1028" name="ScrollBar2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695325</xdr:colOff>
          <xdr:row>34</xdr:row>
          <xdr:rowOff>76199</xdr:rowOff>
        </xdr:from>
        <xdr:to>
          <xdr:col>10</xdr:col>
          <xdr:colOff>790575</xdr:colOff>
          <xdr:row>36</xdr:row>
          <xdr:rowOff>171450</xdr:rowOff>
        </xdr:to>
        <xdr:sp macro="" textlink="">
          <xdr:nvSpPr>
            <xdr:cNvPr id="1029" name="Scroll Bar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828675</xdr:colOff>
          <xdr:row>38</xdr:row>
          <xdr:rowOff>133350</xdr:rowOff>
        </xdr:from>
        <xdr:to>
          <xdr:col>10</xdr:col>
          <xdr:colOff>676275</xdr:colOff>
          <xdr:row>40</xdr:row>
          <xdr:rowOff>123825</xdr:rowOff>
        </xdr:to>
        <xdr:sp macro="" textlink="">
          <xdr:nvSpPr>
            <xdr:cNvPr id="1030" name="ScrollBar3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52387</xdr:colOff>
      <xdr:row>13</xdr:row>
      <xdr:rowOff>76200</xdr:rowOff>
    </xdr:from>
    <xdr:to>
      <xdr:col>12</xdr:col>
      <xdr:colOff>509587</xdr:colOff>
      <xdr:row>27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5EE671-4446-E857-2614-6127C47F0B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.xml"/><Relationship Id="rId3" Type="http://schemas.openxmlformats.org/officeDocument/2006/relationships/vmlDrawing" Target="../drawings/vmlDrawing1.vml"/><Relationship Id="rId7" Type="http://schemas.openxmlformats.org/officeDocument/2006/relationships/control" Target="../activeX/activeX3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5" Type="http://schemas.openxmlformats.org/officeDocument/2006/relationships/image" Target="../media/image1.emf"/><Relationship Id="rId10" Type="http://schemas.openxmlformats.org/officeDocument/2006/relationships/comments" Target="../comments1.xml"/><Relationship Id="rId4" Type="http://schemas.openxmlformats.org/officeDocument/2006/relationships/control" Target="../activeX/activeX1.xml"/><Relationship Id="rId9" Type="http://schemas.openxmlformats.org/officeDocument/2006/relationships/ctrlProp" Target="../ctrlProps/ctrlProp2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F41EC-1231-CB48-8EA6-D27599BB7D18}">
  <sheetPr codeName="Sheet1"/>
  <dimension ref="B3:U33"/>
  <sheetViews>
    <sheetView topLeftCell="A7" workbookViewId="0">
      <selection activeCell="C31" sqref="C31:H31"/>
    </sheetView>
  </sheetViews>
  <sheetFormatPr defaultColWidth="11" defaultRowHeight="15.75" x14ac:dyDescent="0.25"/>
  <sheetData>
    <row r="3" spans="2:21" x14ac:dyDescent="0.25">
      <c r="B3" t="s">
        <v>12</v>
      </c>
      <c r="C3" t="s">
        <v>13</v>
      </c>
    </row>
    <row r="4" spans="2:21" x14ac:dyDescent="0.25">
      <c r="C4" t="s">
        <v>0</v>
      </c>
      <c r="D4" t="s">
        <v>1</v>
      </c>
      <c r="E4" t="s">
        <v>2</v>
      </c>
      <c r="F4" t="s">
        <v>3</v>
      </c>
      <c r="G4" t="s">
        <v>4</v>
      </c>
      <c r="H4" t="s">
        <v>5</v>
      </c>
      <c r="I4" t="s">
        <v>6</v>
      </c>
      <c r="J4" t="s">
        <v>7</v>
      </c>
      <c r="K4" t="s">
        <v>8</v>
      </c>
      <c r="L4" t="s">
        <v>9</v>
      </c>
      <c r="M4" t="s">
        <v>10</v>
      </c>
      <c r="N4" t="s">
        <v>11</v>
      </c>
      <c r="O4" t="s">
        <v>16</v>
      </c>
    </row>
    <row r="5" spans="2:21" x14ac:dyDescent="0.25">
      <c r="B5">
        <v>2021</v>
      </c>
      <c r="C5">
        <v>373</v>
      </c>
      <c r="D5">
        <v>337</v>
      </c>
      <c r="E5">
        <v>250</v>
      </c>
      <c r="F5">
        <v>259</v>
      </c>
      <c r="G5">
        <v>273</v>
      </c>
      <c r="H5">
        <v>264</v>
      </c>
      <c r="I5">
        <v>-201</v>
      </c>
      <c r="J5">
        <v>326</v>
      </c>
      <c r="K5">
        <v>315</v>
      </c>
      <c r="L5">
        <v>326</v>
      </c>
      <c r="M5">
        <v>302</v>
      </c>
      <c r="N5">
        <v>365</v>
      </c>
      <c r="O5">
        <f>SUM(C5:N5)</f>
        <v>3189</v>
      </c>
      <c r="Q5" t="s">
        <v>15</v>
      </c>
    </row>
    <row r="6" spans="2:21" x14ac:dyDescent="0.25">
      <c r="B6">
        <v>2022</v>
      </c>
      <c r="C6">
        <v>310</v>
      </c>
      <c r="D6">
        <v>216</v>
      </c>
      <c r="E6">
        <v>234</v>
      </c>
      <c r="F6">
        <v>205</v>
      </c>
      <c r="G6">
        <v>211</v>
      </c>
      <c r="H6">
        <v>178</v>
      </c>
      <c r="I6">
        <v>218</v>
      </c>
      <c r="J6">
        <v>245</v>
      </c>
      <c r="K6">
        <v>207</v>
      </c>
      <c r="L6">
        <v>184</v>
      </c>
      <c r="M6">
        <v>255</v>
      </c>
      <c r="N6">
        <v>385</v>
      </c>
      <c r="O6">
        <f t="shared" ref="O6:O8" si="0">SUM(C6:N6)</f>
        <v>2848</v>
      </c>
    </row>
    <row r="7" spans="2:21" x14ac:dyDescent="0.25">
      <c r="B7">
        <v>2023</v>
      </c>
      <c r="C7">
        <v>334</v>
      </c>
      <c r="D7">
        <v>273</v>
      </c>
      <c r="E7">
        <v>290</v>
      </c>
      <c r="F7">
        <v>213</v>
      </c>
      <c r="G7">
        <v>171</v>
      </c>
      <c r="H7">
        <v>200</v>
      </c>
      <c r="I7">
        <v>156</v>
      </c>
      <c r="J7">
        <v>184</v>
      </c>
      <c r="K7">
        <v>193</v>
      </c>
      <c r="L7" s="1">
        <v>225</v>
      </c>
      <c r="M7" s="1">
        <v>434</v>
      </c>
      <c r="N7" s="1">
        <v>566</v>
      </c>
      <c r="O7" s="1">
        <f t="shared" si="0"/>
        <v>3239</v>
      </c>
      <c r="Q7" t="s">
        <v>19</v>
      </c>
    </row>
    <row r="8" spans="2:21" x14ac:dyDescent="0.25">
      <c r="B8">
        <v>2024</v>
      </c>
      <c r="C8" s="1">
        <v>584</v>
      </c>
      <c r="D8" s="1">
        <v>331</v>
      </c>
      <c r="E8" s="1">
        <v>265</v>
      </c>
      <c r="F8" s="1">
        <v>189</v>
      </c>
      <c r="G8" s="1">
        <v>182</v>
      </c>
      <c r="H8" s="1">
        <v>147</v>
      </c>
      <c r="I8" s="1">
        <v>176</v>
      </c>
      <c r="J8" s="1">
        <v>210</v>
      </c>
      <c r="K8" s="1">
        <v>178</v>
      </c>
      <c r="L8" s="1">
        <v>254</v>
      </c>
      <c r="M8" s="1">
        <v>427</v>
      </c>
      <c r="N8" s="1">
        <v>607</v>
      </c>
      <c r="O8" s="1">
        <f t="shared" si="0"/>
        <v>3550</v>
      </c>
    </row>
    <row r="11" spans="2:21" x14ac:dyDescent="0.25">
      <c r="B11" t="s">
        <v>14</v>
      </c>
      <c r="C11" t="s">
        <v>13</v>
      </c>
    </row>
    <row r="12" spans="2:21" x14ac:dyDescent="0.25">
      <c r="C12" t="str">
        <f>C4</f>
        <v>jan</v>
      </c>
      <c r="D12" t="str">
        <f t="shared" ref="D12:N12" si="1">D4</f>
        <v>feb</v>
      </c>
      <c r="E12" t="str">
        <f t="shared" si="1"/>
        <v>mrt</v>
      </c>
      <c r="F12" t="str">
        <f t="shared" si="1"/>
        <v>apr</v>
      </c>
      <c r="G12" t="str">
        <f t="shared" si="1"/>
        <v>mei</v>
      </c>
      <c r="H12" t="str">
        <f t="shared" si="1"/>
        <v>jun</v>
      </c>
      <c r="I12" t="str">
        <f t="shared" si="1"/>
        <v>jul</v>
      </c>
      <c r="J12" t="str">
        <f t="shared" si="1"/>
        <v>aug</v>
      </c>
      <c r="K12" t="str">
        <f t="shared" si="1"/>
        <v>sep</v>
      </c>
      <c r="L12" t="str">
        <f t="shared" si="1"/>
        <v>okt</v>
      </c>
      <c r="M12" t="str">
        <f t="shared" si="1"/>
        <v>nov</v>
      </c>
      <c r="N12" t="str">
        <f t="shared" si="1"/>
        <v>dec</v>
      </c>
      <c r="O12" t="s">
        <v>16</v>
      </c>
    </row>
    <row r="13" spans="2:21" x14ac:dyDescent="0.25">
      <c r="B13">
        <f>B5</f>
        <v>2021</v>
      </c>
      <c r="C13">
        <v>302</v>
      </c>
      <c r="D13">
        <v>273</v>
      </c>
      <c r="E13">
        <v>198</v>
      </c>
      <c r="F13">
        <v>112</v>
      </c>
      <c r="G13">
        <v>31</v>
      </c>
      <c r="H13">
        <v>0</v>
      </c>
      <c r="I13">
        <v>32</v>
      </c>
      <c r="J13">
        <v>34</v>
      </c>
      <c r="K13">
        <v>33</v>
      </c>
      <c r="L13">
        <v>34</v>
      </c>
      <c r="M13">
        <v>133</v>
      </c>
      <c r="N13">
        <v>196</v>
      </c>
      <c r="O13" s="2">
        <f>SUM(C13:N13)</f>
        <v>1378</v>
      </c>
      <c r="P13" t="s">
        <v>24</v>
      </c>
    </row>
    <row r="14" spans="2:21" x14ac:dyDescent="0.25">
      <c r="B14">
        <f t="shared" ref="B14:B16" si="2">B6</f>
        <v>2022</v>
      </c>
      <c r="C14">
        <v>193</v>
      </c>
      <c r="D14">
        <v>95</v>
      </c>
      <c r="E14">
        <v>55</v>
      </c>
      <c r="F14">
        <v>49</v>
      </c>
      <c r="G14">
        <v>17</v>
      </c>
      <c r="H14">
        <v>11</v>
      </c>
      <c r="I14">
        <v>9</v>
      </c>
      <c r="J14">
        <v>8</v>
      </c>
      <c r="K14">
        <v>9</v>
      </c>
      <c r="L14">
        <v>10</v>
      </c>
      <c r="M14">
        <v>43</v>
      </c>
      <c r="N14">
        <v>157</v>
      </c>
      <c r="O14">
        <f>SUM(C14:N14)</f>
        <v>656</v>
      </c>
      <c r="Q14" t="s">
        <v>17</v>
      </c>
      <c r="U14" t="s">
        <v>18</v>
      </c>
    </row>
    <row r="15" spans="2:21" x14ac:dyDescent="0.25">
      <c r="B15">
        <f t="shared" si="2"/>
        <v>2023</v>
      </c>
      <c r="C15">
        <v>155</v>
      </c>
      <c r="D15">
        <v>104</v>
      </c>
      <c r="E15">
        <v>113</v>
      </c>
      <c r="F15">
        <v>34</v>
      </c>
      <c r="G15">
        <v>15</v>
      </c>
      <c r="H15">
        <v>10</v>
      </c>
      <c r="I15">
        <v>10</v>
      </c>
      <c r="J15">
        <v>12</v>
      </c>
      <c r="K15">
        <v>8</v>
      </c>
      <c r="L15" s="1">
        <v>12</v>
      </c>
      <c r="M15" s="1">
        <v>34</v>
      </c>
      <c r="N15" s="1">
        <v>50</v>
      </c>
      <c r="O15" s="1">
        <f>SUM(C15:N15)</f>
        <v>557</v>
      </c>
    </row>
    <row r="16" spans="2:21" x14ac:dyDescent="0.25">
      <c r="B16">
        <f t="shared" si="2"/>
        <v>2024</v>
      </c>
      <c r="C16" s="1">
        <v>87</v>
      </c>
      <c r="D16" s="1">
        <v>25</v>
      </c>
      <c r="E16" s="1">
        <v>18</v>
      </c>
      <c r="F16" s="1">
        <v>14</v>
      </c>
      <c r="G16" s="1">
        <v>8</v>
      </c>
      <c r="H16" s="1">
        <v>8</v>
      </c>
      <c r="I16" s="1">
        <v>7</v>
      </c>
      <c r="J16" s="1">
        <v>8</v>
      </c>
      <c r="K16" s="1">
        <v>8</v>
      </c>
      <c r="L16" s="1">
        <v>11</v>
      </c>
      <c r="M16" s="1">
        <v>30</v>
      </c>
      <c r="N16" s="1">
        <v>38</v>
      </c>
      <c r="O16" s="1">
        <f>SUM(C16:N16)</f>
        <v>262</v>
      </c>
      <c r="Q16" t="s">
        <v>25</v>
      </c>
    </row>
    <row r="20" spans="2:17" x14ac:dyDescent="0.25">
      <c r="B20" t="s">
        <v>20</v>
      </c>
      <c r="C20" t="s">
        <v>21</v>
      </c>
    </row>
    <row r="21" spans="2:17" x14ac:dyDescent="0.25">
      <c r="C21" t="str">
        <f>C12</f>
        <v>jan</v>
      </c>
      <c r="D21" t="str">
        <f t="shared" ref="D21:N21" si="3">D12</f>
        <v>feb</v>
      </c>
      <c r="E21" t="str">
        <f t="shared" si="3"/>
        <v>mrt</v>
      </c>
      <c r="F21" t="str">
        <f t="shared" si="3"/>
        <v>apr</v>
      </c>
      <c r="G21" t="str">
        <f t="shared" si="3"/>
        <v>mei</v>
      </c>
      <c r="H21" t="str">
        <f t="shared" si="3"/>
        <v>jun</v>
      </c>
      <c r="I21" t="str">
        <f t="shared" si="3"/>
        <v>jul</v>
      </c>
      <c r="J21" t="str">
        <f t="shared" si="3"/>
        <v>aug</v>
      </c>
      <c r="K21" t="str">
        <f t="shared" si="3"/>
        <v>sep</v>
      </c>
      <c r="L21" t="str">
        <f t="shared" si="3"/>
        <v>okt</v>
      </c>
      <c r="M21" t="str">
        <f t="shared" si="3"/>
        <v>nov</v>
      </c>
      <c r="N21" t="str">
        <f t="shared" si="3"/>
        <v>dec</v>
      </c>
      <c r="O21" t="s">
        <v>16</v>
      </c>
    </row>
    <row r="22" spans="2:17" x14ac:dyDescent="0.25">
      <c r="B22">
        <v>2023</v>
      </c>
      <c r="L22">
        <v>54</v>
      </c>
      <c r="M22">
        <v>241</v>
      </c>
      <c r="N22">
        <v>285</v>
      </c>
      <c r="O22">
        <f>SUM(L22:N22)</f>
        <v>580</v>
      </c>
    </row>
    <row r="23" spans="2:17" x14ac:dyDescent="0.25">
      <c r="B23">
        <v>2024</v>
      </c>
      <c r="C23">
        <v>319</v>
      </c>
      <c r="D23">
        <v>152</v>
      </c>
      <c r="E23">
        <v>98</v>
      </c>
      <c r="F23">
        <v>52</v>
      </c>
      <c r="G23">
        <v>4</v>
      </c>
      <c r="H23">
        <v>5</v>
      </c>
      <c r="I23">
        <v>3</v>
      </c>
      <c r="J23">
        <v>3</v>
      </c>
      <c r="K23">
        <v>11</v>
      </c>
      <c r="L23">
        <v>60</v>
      </c>
      <c r="M23">
        <v>227</v>
      </c>
      <c r="N23">
        <v>321</v>
      </c>
      <c r="O23">
        <f>SUM(C23:N23)</f>
        <v>1255</v>
      </c>
      <c r="Q23" t="s">
        <v>25</v>
      </c>
    </row>
    <row r="25" spans="2:17" x14ac:dyDescent="0.25">
      <c r="C25" t="s">
        <v>22</v>
      </c>
      <c r="O25" t="s">
        <v>16</v>
      </c>
    </row>
    <row r="26" spans="2:17" x14ac:dyDescent="0.25">
      <c r="B26">
        <v>2023</v>
      </c>
      <c r="L26">
        <v>2.81</v>
      </c>
      <c r="M26">
        <v>24.3</v>
      </c>
      <c r="N26">
        <v>40</v>
      </c>
      <c r="O26">
        <f>SUM(L26:N26)</f>
        <v>67.11</v>
      </c>
    </row>
    <row r="27" spans="2:17" x14ac:dyDescent="0.25">
      <c r="B27">
        <v>2024</v>
      </c>
      <c r="C27">
        <v>84</v>
      </c>
      <c r="D27">
        <v>9.7899999999999991</v>
      </c>
      <c r="E27">
        <v>6.5</v>
      </c>
      <c r="F27">
        <v>4</v>
      </c>
      <c r="G27">
        <v>0</v>
      </c>
      <c r="H27">
        <v>0</v>
      </c>
      <c r="I27">
        <v>0</v>
      </c>
      <c r="J27">
        <v>0</v>
      </c>
      <c r="K27">
        <v>0</v>
      </c>
      <c r="L27">
        <v>2.15</v>
      </c>
      <c r="M27">
        <v>21.15</v>
      </c>
      <c r="N27">
        <v>31</v>
      </c>
      <c r="O27">
        <f>SUM(C27:N27)</f>
        <v>158.59</v>
      </c>
      <c r="Q27" t="s">
        <v>25</v>
      </c>
    </row>
    <row r="29" spans="2:17" x14ac:dyDescent="0.25">
      <c r="C29" t="s">
        <v>23</v>
      </c>
    </row>
    <row r="30" spans="2:17" x14ac:dyDescent="0.25">
      <c r="B30">
        <f>B26</f>
        <v>2023</v>
      </c>
      <c r="L30">
        <v>5.4</v>
      </c>
      <c r="M30">
        <v>4.0999999999999996</v>
      </c>
      <c r="N30">
        <v>4.2</v>
      </c>
      <c r="O30">
        <v>4.3</v>
      </c>
    </row>
    <row r="31" spans="2:17" x14ac:dyDescent="0.25">
      <c r="B31">
        <f>B27</f>
        <v>2024</v>
      </c>
      <c r="C31">
        <v>3.8</v>
      </c>
      <c r="D31">
        <v>4.9000000000000004</v>
      </c>
      <c r="E31">
        <v>5.6</v>
      </c>
      <c r="F31">
        <v>5.2</v>
      </c>
      <c r="G31">
        <v>1.3</v>
      </c>
      <c r="H31">
        <v>2.2999999999999998</v>
      </c>
      <c r="I31">
        <v>0</v>
      </c>
      <c r="J31">
        <v>0.1</v>
      </c>
      <c r="K31">
        <v>4.5</v>
      </c>
      <c r="L31">
        <v>5.9</v>
      </c>
      <c r="M31">
        <v>4.7</v>
      </c>
      <c r="N31">
        <v>4.4000000000000004</v>
      </c>
      <c r="O31">
        <v>4.5</v>
      </c>
    </row>
    <row r="33" spans="2:2" x14ac:dyDescent="0.25">
      <c r="B33" t="s">
        <v>26</v>
      </c>
    </row>
  </sheetData>
  <phoneticPr fontId="1" type="noConversion"/>
  <pageMargins left="0.7" right="0.7" top="0.75" bottom="0.75" header="0.3" footer="0.3"/>
  <pageSetup paperSize="9" orientation="portrait" horizontalDpi="0" verticalDpi="0" r:id="rId1"/>
  <drawing r:id="rId2"/>
  <legacyDrawing r:id="rId3"/>
  <controls>
    <mc:AlternateContent xmlns:mc="http://schemas.openxmlformats.org/markup-compatibility/2006">
      <mc:Choice Requires="x14">
        <control shapeId="1030" r:id="rId4" name="ScrollBar3">
          <controlPr defaultSize="0" autoLine="0" r:id="rId5">
            <anchor moveWithCells="1">
              <from>
                <xdr:col>6</xdr:col>
                <xdr:colOff>828675</xdr:colOff>
                <xdr:row>38</xdr:row>
                <xdr:rowOff>133350</xdr:rowOff>
              </from>
              <to>
                <xdr:col>10</xdr:col>
                <xdr:colOff>676275</xdr:colOff>
                <xdr:row>40</xdr:row>
                <xdr:rowOff>123825</xdr:rowOff>
              </to>
            </anchor>
          </controlPr>
        </control>
      </mc:Choice>
      <mc:Fallback>
        <control shapeId="1030" r:id="rId4" name="ScrollBar3"/>
      </mc:Fallback>
    </mc:AlternateContent>
    <mc:AlternateContent xmlns:mc="http://schemas.openxmlformats.org/markup-compatibility/2006">
      <mc:Choice Requires="x14">
        <control shapeId="1028" r:id="rId6" name="ScrollBar2">
          <controlPr defaultSize="0" autoLine="0" r:id="rId5">
            <anchor moveWithCells="1">
              <from>
                <xdr:col>1</xdr:col>
                <xdr:colOff>628650</xdr:colOff>
                <xdr:row>41</xdr:row>
                <xdr:rowOff>9525</xdr:rowOff>
              </from>
              <to>
                <xdr:col>5</xdr:col>
                <xdr:colOff>476250</xdr:colOff>
                <xdr:row>43</xdr:row>
                <xdr:rowOff>0</xdr:rowOff>
              </to>
            </anchor>
          </controlPr>
        </control>
      </mc:Choice>
      <mc:Fallback>
        <control shapeId="1028" r:id="rId6" name="ScrollBar2"/>
      </mc:Fallback>
    </mc:AlternateContent>
    <mc:AlternateContent xmlns:mc="http://schemas.openxmlformats.org/markup-compatibility/2006">
      <mc:Choice Requires="x14">
        <control shapeId="1027" r:id="rId7" name="ScrollBar1">
          <controlPr defaultSize="0" autoLine="0" r:id="rId5">
            <anchor moveWithCells="1">
              <from>
                <xdr:col>1</xdr:col>
                <xdr:colOff>228600</xdr:colOff>
                <xdr:row>38</xdr:row>
                <xdr:rowOff>9525</xdr:rowOff>
              </from>
              <to>
                <xdr:col>5</xdr:col>
                <xdr:colOff>76200</xdr:colOff>
                <xdr:row>40</xdr:row>
                <xdr:rowOff>0</xdr:rowOff>
              </to>
            </anchor>
          </controlPr>
        </control>
      </mc:Choice>
      <mc:Fallback>
        <control shapeId="1027" r:id="rId7" name="ScrollBar1"/>
      </mc:Fallback>
    </mc:AlternateContent>
    <mc:AlternateContent xmlns:mc="http://schemas.openxmlformats.org/markup-compatibility/2006">
      <mc:Choice Requires="x14">
        <control shapeId="1026" r:id="rId8" name="Scroll Bar 2">
          <controlPr defaultSize="0" autoPict="0">
            <anchor moveWithCells="1">
              <from>
                <xdr:col>2</xdr:col>
                <xdr:colOff>314325</xdr:colOff>
                <xdr:row>34</xdr:row>
                <xdr:rowOff>38100</xdr:rowOff>
              </from>
              <to>
                <xdr:col>6</xdr:col>
                <xdr:colOff>409575</xdr:colOff>
                <xdr:row>36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029" r:id="rId9" name="Scroll Bar 5">
          <controlPr defaultSize="0" autoPict="0">
            <anchor moveWithCells="1">
              <from>
                <xdr:col>6</xdr:col>
                <xdr:colOff>695325</xdr:colOff>
                <xdr:row>34</xdr:row>
                <xdr:rowOff>76200</xdr:rowOff>
              </from>
              <to>
                <xdr:col>10</xdr:col>
                <xdr:colOff>790575</xdr:colOff>
                <xdr:row>36</xdr:row>
                <xdr:rowOff>171450</xdr:rowOff>
              </to>
            </anchor>
          </controlPr>
        </control>
      </mc:Choice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04D78-4CE0-4684-9B44-5897CB39DE83}">
  <dimension ref="B5:C17"/>
  <sheetViews>
    <sheetView tabSelected="1" workbookViewId="0">
      <selection activeCell="F16" sqref="F16"/>
    </sheetView>
  </sheetViews>
  <sheetFormatPr defaultRowHeight="15.75" x14ac:dyDescent="0.25"/>
  <sheetData>
    <row r="5" spans="2:3" x14ac:dyDescent="0.25">
      <c r="C5" t="s">
        <v>23</v>
      </c>
    </row>
    <row r="6" spans="2:3" x14ac:dyDescent="0.25">
      <c r="B6" t="s">
        <v>27</v>
      </c>
      <c r="C6">
        <v>0</v>
      </c>
    </row>
    <row r="7" spans="2:3" x14ac:dyDescent="0.25">
      <c r="B7" t="s">
        <v>28</v>
      </c>
      <c r="C7">
        <v>0.1</v>
      </c>
    </row>
    <row r="8" spans="2:3" x14ac:dyDescent="0.25">
      <c r="B8" t="s">
        <v>29</v>
      </c>
      <c r="C8">
        <v>4.5</v>
      </c>
    </row>
    <row r="9" spans="2:3" x14ac:dyDescent="0.25">
      <c r="B9" t="s">
        <v>30</v>
      </c>
      <c r="C9">
        <v>5.9</v>
      </c>
    </row>
    <row r="10" spans="2:3" x14ac:dyDescent="0.25">
      <c r="B10" t="s">
        <v>31</v>
      </c>
      <c r="C10">
        <v>4.7</v>
      </c>
    </row>
    <row r="11" spans="2:3" x14ac:dyDescent="0.25">
      <c r="B11" t="s">
        <v>32</v>
      </c>
      <c r="C11">
        <v>4.4000000000000004</v>
      </c>
    </row>
    <row r="12" spans="2:3" x14ac:dyDescent="0.25">
      <c r="B12" t="s">
        <v>33</v>
      </c>
      <c r="C12">
        <v>3.8</v>
      </c>
    </row>
    <row r="13" spans="2:3" x14ac:dyDescent="0.25">
      <c r="B13" t="s">
        <v>34</v>
      </c>
      <c r="C13">
        <v>4.9000000000000004</v>
      </c>
    </row>
    <row r="14" spans="2:3" x14ac:dyDescent="0.25">
      <c r="B14" t="s">
        <v>35</v>
      </c>
      <c r="C14">
        <v>5.6</v>
      </c>
    </row>
    <row r="15" spans="2:3" x14ac:dyDescent="0.25">
      <c r="B15" t="s">
        <v>36</v>
      </c>
      <c r="C15">
        <v>5.2</v>
      </c>
    </row>
    <row r="16" spans="2:3" x14ac:dyDescent="0.25">
      <c r="B16" t="s">
        <v>4</v>
      </c>
      <c r="C16">
        <v>1.3</v>
      </c>
    </row>
    <row r="17" spans="2:3" x14ac:dyDescent="0.25">
      <c r="B17" t="s">
        <v>37</v>
      </c>
      <c r="C17">
        <v>2.2999999999999998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Blad1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 van Kessel</dc:creator>
  <cp:lastModifiedBy>Stef Janssen2s</cp:lastModifiedBy>
  <dcterms:created xsi:type="dcterms:W3CDTF">2025-01-11T11:26:54Z</dcterms:created>
  <dcterms:modified xsi:type="dcterms:W3CDTF">2025-01-11T19:16:54Z</dcterms:modified>
</cp:coreProperties>
</file>